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amk\Documents\GitHub\NewMacro\"/>
    </mc:Choice>
  </mc:AlternateContent>
  <xr:revisionPtr revIDLastSave="0" documentId="8_{76428E7D-92C5-4B71-8121-63ADAB5E4374}" xr6:coauthVersionLast="47" xr6:coauthVersionMax="47" xr10:uidLastSave="{00000000-0000-0000-0000-000000000000}"/>
  <bookViews>
    <workbookView xWindow="-108" yWindow="-108" windowWidth="23256" windowHeight="12456"/>
  </bookViews>
  <sheets>
    <sheet name="reportGrowthrate" sheetId="1" r:id="rId1"/>
  </sheets>
  <calcPr calcId="0"/>
</workbook>
</file>

<file path=xl/calcChain.xml><?xml version="1.0" encoding="utf-8"?>
<calcChain xmlns="http://schemas.openxmlformats.org/spreadsheetml/2006/main">
  <c r="N4" i="1" l="1"/>
  <c r="M4" i="1"/>
  <c r="P3" i="1"/>
  <c r="P4" i="1"/>
  <c r="P5" i="1"/>
  <c r="P6" i="1"/>
  <c r="O6" i="1"/>
  <c r="N6" i="1"/>
  <c r="N5" i="1"/>
  <c r="O5" i="1" s="1"/>
  <c r="N3" i="1"/>
  <c r="O3" i="1" s="1"/>
  <c r="M6" i="1"/>
  <c r="L6" i="1"/>
  <c r="M5" i="1"/>
  <c r="L5" i="1"/>
  <c r="L4" i="1"/>
  <c r="M3" i="1"/>
  <c r="L3" i="1"/>
</calcChain>
</file>

<file path=xl/sharedStrings.xml><?xml version="1.0" encoding="utf-8"?>
<sst xmlns="http://schemas.openxmlformats.org/spreadsheetml/2006/main" count="128" uniqueCount="73">
  <si>
    <t>Module</t>
  </si>
  <si>
    <t>Indicator</t>
  </si>
  <si>
    <t>Description</t>
  </si>
  <si>
    <t>Source of Data</t>
  </si>
  <si>
    <t>3 Month Ann.</t>
  </si>
  <si>
    <t>12 Month/ 1 Year Growth</t>
  </si>
  <si>
    <t>Has crossover/is Positive</t>
  </si>
  <si>
    <t>Date</t>
  </si>
  <si>
    <t>MoneyCreditGrowth</t>
  </si>
  <si>
    <t>m1sl</t>
  </si>
  <si>
    <t>M1 (Monthly)</t>
  </si>
  <si>
    <t>fred</t>
  </si>
  <si>
    <t>m2sl</t>
  </si>
  <si>
    <t>M2 (Monthly)</t>
  </si>
  <si>
    <t>bogz1fl893169105q</t>
  </si>
  <si>
    <t>Commercial paper outstanding (Quarterly)</t>
  </si>
  <si>
    <t>busloans</t>
  </si>
  <si>
    <t>Commercial and industrial loans at banks (Monthly)</t>
  </si>
  <si>
    <t>totalsl</t>
  </si>
  <si>
    <t>Consumer instalment credit (Monthly)</t>
  </si>
  <si>
    <t>EconomicGrowth</t>
  </si>
  <si>
    <t>durable_goods_orders_86</t>
  </si>
  <si>
    <t>Total durable goods orders (Monthly)</t>
  </si>
  <si>
    <t>investing</t>
  </si>
  <si>
    <t>None</t>
  </si>
  <si>
    <t>us_leading_index_1968</t>
  </si>
  <si>
    <t xml:space="preserve">LEI Conference Board </t>
  </si>
  <si>
    <t>building_permits_25</t>
  </si>
  <si>
    <t>Housing Permits (Monthly)</t>
  </si>
  <si>
    <t>chicago_pmi_38</t>
  </si>
  <si>
    <t>Chicago PMI (Monthly)</t>
  </si>
  <si>
    <t>total_vehicle_sales_85</t>
  </si>
  <si>
    <t>Auto Sales (Monthly)</t>
  </si>
  <si>
    <t>ism_manufacturing_pmi_173</t>
  </si>
  <si>
    <t>ISM manufacturing pmi</t>
  </si>
  <si>
    <t>indpro</t>
  </si>
  <si>
    <t>Industrial Production (Monthly)</t>
  </si>
  <si>
    <t>pce</t>
  </si>
  <si>
    <t>Personal Consumption Expenditures (Monthly)</t>
  </si>
  <si>
    <t>payems</t>
  </si>
  <si>
    <t>Employment (Monthly)</t>
  </si>
  <si>
    <t>awhman</t>
  </si>
  <si>
    <t>Average work week (Monthly)</t>
  </si>
  <si>
    <t>houst</t>
  </si>
  <si>
    <t>Housing Starts (Monthly)</t>
  </si>
  <si>
    <t>permit</t>
  </si>
  <si>
    <t>ic4wsa</t>
  </si>
  <si>
    <t>Average weekly initial claims for unemployment (Weekly)</t>
  </si>
  <si>
    <t>bogz1fl145020011q</t>
  </si>
  <si>
    <t>Inventories Level, (Excluding Farms),  (Quarterly)</t>
  </si>
  <si>
    <t>gacdfsa066msfrbphi</t>
  </si>
  <si>
    <t>Philly Fed PMI (Monthly)</t>
  </si>
  <si>
    <t>Inflation</t>
  </si>
  <si>
    <t>cpiaucsl</t>
  </si>
  <si>
    <t>Consumer price index- all items (Monthly)</t>
  </si>
  <si>
    <t>ppiaco</t>
  </si>
  <si>
    <t>Producer price index-all items (Monthly)</t>
  </si>
  <si>
    <t>ahetpi</t>
  </si>
  <si>
    <t>Average hourly earnings (Monthly)</t>
  </si>
  <si>
    <t>Fed Policy</t>
  </si>
  <si>
    <t>t10yff</t>
  </si>
  <si>
    <t>Yield Curve (Daily)</t>
  </si>
  <si>
    <t>dtb3</t>
  </si>
  <si>
    <t>T-bill rate (Daily)</t>
  </si>
  <si>
    <t>fedfunds</t>
  </si>
  <si>
    <t>Fed funds rate (Monthly)</t>
  </si>
  <si>
    <t>Pct</t>
  </si>
  <si>
    <t>Dovish</t>
  </si>
  <si>
    <t>Summary</t>
  </si>
  <si>
    <t>Fed Stance</t>
  </si>
  <si>
    <t>TRUE (accelerating)</t>
  </si>
  <si>
    <t>FALSE (Decellerating)</t>
  </si>
  <si>
    <t>Trade Recommendation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</si>
</sst>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14" fontId="0" fillId="0" borderId="15" xfId="0" applyNumberFormat="1" applyBorder="1"/>
    <xf numFmtId="0" fontId="0" fillId="0" borderId="0" xfId="0" applyBorder="1"/>
    <xf numFmtId="14" fontId="0" fillId="0" borderId="16" xfId="0" applyNumberFormat="1" applyBorder="1"/>
    <xf numFmtId="0" fontId="0" fillId="33" borderId="0" xfId="0" applyFill="1" applyBorder="1"/>
    <xf numFmtId="0" fontId="0" fillId="0" borderId="17" xfId="0" applyBorder="1"/>
    <xf numFmtId="14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6" xfId="0" applyBorder="1"/>
    <xf numFmtId="0" fontId="0" fillId="0" borderId="15" xfId="0" applyBorder="1"/>
    <xf numFmtId="0" fontId="0" fillId="33" borderId="16" xfId="0" applyFill="1" applyBorder="1"/>
    <xf numFmtId="0" fontId="0" fillId="0" borderId="18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33" borderId="12" xfId="0" applyFill="1" applyBorder="1"/>
    <xf numFmtId="0" fontId="0" fillId="0" borderId="10" xfId="0" applyBorder="1" applyAlignment="1">
      <alignment horizontal="center"/>
    </xf>
    <xf numFmtId="9" fontId="0" fillId="0" borderId="10" xfId="1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tabSelected="1" topLeftCell="E1" workbookViewId="0">
      <selection activeCell="P10" sqref="P10"/>
    </sheetView>
  </sheetViews>
  <sheetFormatPr defaultRowHeight="14.4" x14ac:dyDescent="0.3"/>
  <cols>
    <col min="2" max="2" width="17.88671875" bestFit="1" customWidth="1"/>
    <col min="3" max="3" width="24.88671875" bestFit="1" customWidth="1"/>
    <col min="4" max="4" width="48.21875" bestFit="1" customWidth="1"/>
    <col min="5" max="5" width="13.21875" bestFit="1" customWidth="1"/>
    <col min="6" max="6" width="12" bestFit="1" customWidth="1"/>
    <col min="7" max="7" width="22.109375" bestFit="1" customWidth="1"/>
    <col min="8" max="8" width="21.44140625" bestFit="1" customWidth="1"/>
    <col min="9" max="9" width="10.33203125" bestFit="1" customWidth="1"/>
    <col min="11" max="11" width="17.88671875" bestFit="1" customWidth="1"/>
    <col min="12" max="12" width="17" bestFit="1" customWidth="1"/>
    <col min="13" max="13" width="18.21875" bestFit="1" customWidth="1"/>
    <col min="15" max="15" width="11.88671875" customWidth="1"/>
    <col min="16" max="16" width="20.77734375" bestFit="1" customWidth="1"/>
  </cols>
  <sheetData>
    <row r="1" spans="1:16" x14ac:dyDescent="0.3">
      <c r="B1" s="12" t="s">
        <v>0</v>
      </c>
      <c r="C1" s="1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4" t="s">
        <v>6</v>
      </c>
      <c r="I1" s="14" t="s">
        <v>7</v>
      </c>
      <c r="K1" s="23" t="s">
        <v>68</v>
      </c>
      <c r="L1" s="23"/>
      <c r="M1" s="23"/>
      <c r="N1" s="23"/>
      <c r="O1" s="23"/>
      <c r="P1" s="23"/>
    </row>
    <row r="2" spans="1:16" x14ac:dyDescent="0.3">
      <c r="A2">
        <v>0</v>
      </c>
      <c r="B2" s="19" t="s">
        <v>8</v>
      </c>
      <c r="C2" s="3" t="s">
        <v>9</v>
      </c>
      <c r="D2" s="7" t="s">
        <v>10</v>
      </c>
      <c r="E2" s="2" t="s">
        <v>11</v>
      </c>
      <c r="F2" s="7">
        <v>-5.27</v>
      </c>
      <c r="G2" s="2">
        <v>-10.54</v>
      </c>
      <c r="H2" s="15" t="b">
        <v>1</v>
      </c>
      <c r="I2" s="6">
        <v>45139</v>
      </c>
      <c r="K2" s="1"/>
      <c r="L2" s="1" t="s">
        <v>70</v>
      </c>
      <c r="M2" s="1" t="s">
        <v>71</v>
      </c>
      <c r="N2" s="1" t="s">
        <v>66</v>
      </c>
      <c r="O2" s="1" t="s">
        <v>69</v>
      </c>
      <c r="P2" s="1" t="s">
        <v>72</v>
      </c>
    </row>
    <row r="3" spans="1:16" x14ac:dyDescent="0.3">
      <c r="A3">
        <v>1</v>
      </c>
      <c r="B3" s="19" t="s">
        <v>8</v>
      </c>
      <c r="C3" s="3" t="s">
        <v>12</v>
      </c>
      <c r="D3" s="7" t="s">
        <v>13</v>
      </c>
      <c r="E3" s="3" t="s">
        <v>11</v>
      </c>
      <c r="F3" s="7">
        <v>0.45</v>
      </c>
      <c r="G3" s="3">
        <v>-3.67</v>
      </c>
      <c r="H3" s="15" t="b">
        <v>1</v>
      </c>
      <c r="I3" s="8">
        <v>45139</v>
      </c>
      <c r="K3" s="1" t="s">
        <v>8</v>
      </c>
      <c r="L3" s="1">
        <f>COUNTIF(H2:H6, "True")</f>
        <v>2</v>
      </c>
      <c r="M3" s="1">
        <f>5-L3</f>
        <v>3</v>
      </c>
      <c r="N3" s="24">
        <f>L3/5</f>
        <v>0.4</v>
      </c>
      <c r="O3" s="1" t="str">
        <f t="shared" ref="O3:O6" si="0">IF(N3&lt;0.5,"Dovish","Hawkish")</f>
        <v>Dovish</v>
      </c>
      <c r="P3" s="1" t="str">
        <f t="shared" ref="P3:P6" si="1">IF(O3="Dovish","Long tBill", "Short tBill")</f>
        <v>Long tBill</v>
      </c>
    </row>
    <row r="4" spans="1:16" x14ac:dyDescent="0.3">
      <c r="A4">
        <v>2</v>
      </c>
      <c r="B4" s="19" t="s">
        <v>8</v>
      </c>
      <c r="C4" s="3" t="s">
        <v>14</v>
      </c>
      <c r="D4" s="7" t="s">
        <v>15</v>
      </c>
      <c r="E4" s="3" t="s">
        <v>11</v>
      </c>
      <c r="F4" s="7">
        <v>-59.72</v>
      </c>
      <c r="G4" s="3">
        <v>-5.99</v>
      </c>
      <c r="H4" s="15" t="b">
        <v>0</v>
      </c>
      <c r="I4" s="8">
        <v>45017</v>
      </c>
      <c r="K4" s="1" t="s">
        <v>20</v>
      </c>
      <c r="L4" s="1">
        <f>COUNTIF(H7:H21,"True")</f>
        <v>8</v>
      </c>
      <c r="M4" s="1">
        <f>14-L4</f>
        <v>6</v>
      </c>
      <c r="N4" s="24">
        <f>L4/14</f>
        <v>0.5714285714285714</v>
      </c>
      <c r="O4" s="1" t="s">
        <v>67</v>
      </c>
      <c r="P4" s="1" t="str">
        <f t="shared" si="1"/>
        <v>Long tBill</v>
      </c>
    </row>
    <row r="5" spans="1:16" x14ac:dyDescent="0.3">
      <c r="A5">
        <v>3</v>
      </c>
      <c r="B5" s="19" t="s">
        <v>8</v>
      </c>
      <c r="C5" s="3" t="s">
        <v>16</v>
      </c>
      <c r="D5" s="7" t="s">
        <v>17</v>
      </c>
      <c r="E5" s="3" t="s">
        <v>11</v>
      </c>
      <c r="F5" s="7">
        <v>-1.63</v>
      </c>
      <c r="G5" s="3">
        <v>0.93</v>
      </c>
      <c r="H5" s="15" t="b">
        <v>0</v>
      </c>
      <c r="I5" s="8">
        <v>45139</v>
      </c>
      <c r="K5" s="1" t="s">
        <v>52</v>
      </c>
      <c r="L5" s="1">
        <f>COUNTIF(H22:H24,"True")</f>
        <v>2</v>
      </c>
      <c r="M5" s="1">
        <f>3-L5</f>
        <v>1</v>
      </c>
      <c r="N5" s="24">
        <f>L5/3</f>
        <v>0.66666666666666663</v>
      </c>
      <c r="O5" s="1" t="str">
        <f t="shared" si="0"/>
        <v>Hawkish</v>
      </c>
      <c r="P5" s="1" t="str">
        <f t="shared" si="1"/>
        <v>Short tBill</v>
      </c>
    </row>
    <row r="6" spans="1:16" x14ac:dyDescent="0.3">
      <c r="A6">
        <v>4</v>
      </c>
      <c r="B6" s="19" t="s">
        <v>8</v>
      </c>
      <c r="C6" s="3" t="s">
        <v>18</v>
      </c>
      <c r="D6" s="7" t="s">
        <v>19</v>
      </c>
      <c r="E6" s="3" t="s">
        <v>11</v>
      </c>
      <c r="F6" s="7">
        <v>1.21</v>
      </c>
      <c r="G6" s="3">
        <v>4.88</v>
      </c>
      <c r="H6" s="15" t="b">
        <v>0</v>
      </c>
      <c r="I6" s="11">
        <v>45108</v>
      </c>
      <c r="K6" s="1" t="s">
        <v>59</v>
      </c>
      <c r="L6" s="1">
        <f>COUNTIF(H25:H27,"True")</f>
        <v>1</v>
      </c>
      <c r="M6" s="1">
        <f>3-L6</f>
        <v>2</v>
      </c>
      <c r="N6" s="24">
        <f>L6/3</f>
        <v>0.33333333333333331</v>
      </c>
      <c r="O6" s="1" t="str">
        <f t="shared" si="0"/>
        <v>Dovish</v>
      </c>
      <c r="P6" s="1" t="str">
        <f t="shared" si="1"/>
        <v>Long tBill</v>
      </c>
    </row>
    <row r="7" spans="1:16" x14ac:dyDescent="0.3">
      <c r="A7">
        <v>5</v>
      </c>
      <c r="B7" s="20" t="s">
        <v>20</v>
      </c>
      <c r="C7" s="2" t="s">
        <v>21</v>
      </c>
      <c r="D7" s="5" t="s">
        <v>22</v>
      </c>
      <c r="E7" s="2" t="s">
        <v>23</v>
      </c>
      <c r="F7" s="5" t="s">
        <v>24</v>
      </c>
      <c r="G7" s="2">
        <v>3.2</v>
      </c>
      <c r="H7" s="16" t="b">
        <v>1</v>
      </c>
      <c r="I7" s="6">
        <v>45196</v>
      </c>
    </row>
    <row r="8" spans="1:16" x14ac:dyDescent="0.3">
      <c r="A8">
        <v>6</v>
      </c>
      <c r="B8" s="19" t="s">
        <v>20</v>
      </c>
      <c r="C8" s="3" t="s">
        <v>25</v>
      </c>
      <c r="D8" s="9" t="s">
        <v>26</v>
      </c>
      <c r="E8" s="22" t="s">
        <v>23</v>
      </c>
      <c r="F8" s="9" t="s">
        <v>24</v>
      </c>
      <c r="G8" s="22">
        <v>-6.42</v>
      </c>
      <c r="H8" s="17" t="b">
        <v>0</v>
      </c>
      <c r="I8" s="8">
        <v>45190</v>
      </c>
    </row>
    <row r="9" spans="1:16" x14ac:dyDescent="0.3">
      <c r="A9">
        <v>7</v>
      </c>
      <c r="B9" s="19" t="s">
        <v>20</v>
      </c>
      <c r="C9" s="3" t="s">
        <v>27</v>
      </c>
      <c r="D9" s="9" t="s">
        <v>28</v>
      </c>
      <c r="E9" s="3" t="s">
        <v>23</v>
      </c>
      <c r="F9" s="7">
        <v>12.59</v>
      </c>
      <c r="G9" s="3">
        <v>1.58</v>
      </c>
      <c r="H9" s="15" t="b">
        <v>1</v>
      </c>
      <c r="I9" s="8">
        <v>45195</v>
      </c>
    </row>
    <row r="10" spans="1:16" x14ac:dyDescent="0.3">
      <c r="A10">
        <v>8</v>
      </c>
      <c r="B10" s="19" t="s">
        <v>20</v>
      </c>
      <c r="C10" s="3" t="s">
        <v>29</v>
      </c>
      <c r="D10" s="7" t="s">
        <v>30</v>
      </c>
      <c r="E10" s="3" t="s">
        <v>23</v>
      </c>
      <c r="F10" s="7" t="s">
        <v>24</v>
      </c>
      <c r="G10" s="3">
        <v>-20.11</v>
      </c>
      <c r="H10" s="15" t="b">
        <v>0</v>
      </c>
      <c r="I10" s="8">
        <v>45198</v>
      </c>
    </row>
    <row r="11" spans="1:16" x14ac:dyDescent="0.3">
      <c r="A11">
        <v>9</v>
      </c>
      <c r="B11" s="19" t="s">
        <v>20</v>
      </c>
      <c r="C11" s="3" t="s">
        <v>31</v>
      </c>
      <c r="D11" s="7" t="s">
        <v>32</v>
      </c>
      <c r="E11" s="3" t="s">
        <v>23</v>
      </c>
      <c r="F11" s="7">
        <v>-2.62</v>
      </c>
      <c r="G11" s="3">
        <v>13.64</v>
      </c>
      <c r="H11" s="15" t="b">
        <v>0</v>
      </c>
      <c r="I11" s="8">
        <v>45170</v>
      </c>
    </row>
    <row r="12" spans="1:16" x14ac:dyDescent="0.3">
      <c r="A12">
        <v>10</v>
      </c>
      <c r="B12" s="19" t="s">
        <v>20</v>
      </c>
      <c r="C12" s="3" t="s">
        <v>33</v>
      </c>
      <c r="D12" s="9" t="s">
        <v>34</v>
      </c>
      <c r="E12" s="22" t="s">
        <v>23</v>
      </c>
      <c r="F12" s="9" t="s">
        <v>24</v>
      </c>
      <c r="G12" s="22">
        <v>-9.85</v>
      </c>
      <c r="H12" s="17" t="b">
        <v>0</v>
      </c>
      <c r="I12" s="8">
        <v>45170</v>
      </c>
    </row>
    <row r="13" spans="1:16" x14ac:dyDescent="0.3">
      <c r="A13">
        <v>11</v>
      </c>
      <c r="B13" s="19" t="s">
        <v>20</v>
      </c>
      <c r="C13" s="3" t="s">
        <v>35</v>
      </c>
      <c r="D13" s="7" t="s">
        <v>36</v>
      </c>
      <c r="E13" s="3" t="s">
        <v>11</v>
      </c>
      <c r="F13" s="7">
        <v>2.94</v>
      </c>
      <c r="G13" s="3">
        <v>0.25</v>
      </c>
      <c r="H13" s="15" t="b">
        <v>1</v>
      </c>
      <c r="I13" s="8">
        <v>45139</v>
      </c>
    </row>
    <row r="14" spans="1:16" x14ac:dyDescent="0.3">
      <c r="A14">
        <v>12</v>
      </c>
      <c r="B14" s="19" t="s">
        <v>20</v>
      </c>
      <c r="C14" s="3" t="s">
        <v>37</v>
      </c>
      <c r="D14" s="7" t="s">
        <v>38</v>
      </c>
      <c r="E14" s="3" t="s">
        <v>11</v>
      </c>
      <c r="F14" s="7">
        <v>10.08</v>
      </c>
      <c r="G14" s="3">
        <v>6.7</v>
      </c>
      <c r="H14" s="15" t="b">
        <v>1</v>
      </c>
      <c r="I14" s="8">
        <v>45139</v>
      </c>
    </row>
    <row r="15" spans="1:16" x14ac:dyDescent="0.3">
      <c r="A15">
        <v>13</v>
      </c>
      <c r="B15" s="19" t="s">
        <v>20</v>
      </c>
      <c r="C15" s="3" t="s">
        <v>39</v>
      </c>
      <c r="D15" s="9" t="s">
        <v>40</v>
      </c>
      <c r="E15" s="22" t="s">
        <v>11</v>
      </c>
      <c r="F15" s="9">
        <v>1.1599999999999999</v>
      </c>
      <c r="G15" s="22">
        <v>2.0099999999999998</v>
      </c>
      <c r="H15" s="17" t="b">
        <v>0</v>
      </c>
      <c r="I15" s="8">
        <v>45139</v>
      </c>
    </row>
    <row r="16" spans="1:16" x14ac:dyDescent="0.3">
      <c r="A16">
        <v>14</v>
      </c>
      <c r="B16" s="19" t="s">
        <v>20</v>
      </c>
      <c r="C16" s="3" t="s">
        <v>41</v>
      </c>
      <c r="D16" s="7" t="s">
        <v>42</v>
      </c>
      <c r="E16" s="3" t="s">
        <v>11</v>
      </c>
      <c r="F16" s="7">
        <v>0.99</v>
      </c>
      <c r="G16" s="3">
        <v>-0.49</v>
      </c>
      <c r="H16" s="15" t="b">
        <v>1</v>
      </c>
      <c r="I16" s="8">
        <v>45139</v>
      </c>
    </row>
    <row r="17" spans="1:9" x14ac:dyDescent="0.3">
      <c r="A17">
        <v>15</v>
      </c>
      <c r="B17" s="19" t="s">
        <v>20</v>
      </c>
      <c r="C17" s="3" t="s">
        <v>43</v>
      </c>
      <c r="D17" s="7" t="s">
        <v>44</v>
      </c>
      <c r="E17" s="3" t="s">
        <v>11</v>
      </c>
      <c r="F17" s="7">
        <v>-56.85</v>
      </c>
      <c r="G17" s="3">
        <v>-14.75</v>
      </c>
      <c r="H17" s="15" t="b">
        <v>0</v>
      </c>
      <c r="I17" s="8">
        <v>45139</v>
      </c>
    </row>
    <row r="18" spans="1:9" x14ac:dyDescent="0.3">
      <c r="A18">
        <v>16</v>
      </c>
      <c r="B18" s="19" t="s">
        <v>20</v>
      </c>
      <c r="C18" s="3" t="s">
        <v>45</v>
      </c>
      <c r="D18" s="9" t="s">
        <v>28</v>
      </c>
      <c r="E18" s="3" t="s">
        <v>11</v>
      </c>
      <c r="F18" s="7">
        <v>13.17</v>
      </c>
      <c r="G18" s="3">
        <v>-2.71</v>
      </c>
      <c r="H18" s="15" t="b">
        <v>1</v>
      </c>
      <c r="I18" s="8">
        <v>45139</v>
      </c>
    </row>
    <row r="19" spans="1:9" x14ac:dyDescent="0.3">
      <c r="A19">
        <v>17</v>
      </c>
      <c r="B19" s="19" t="s">
        <v>20</v>
      </c>
      <c r="C19" s="3" t="s">
        <v>46</v>
      </c>
      <c r="D19" s="9" t="s">
        <v>47</v>
      </c>
      <c r="E19" s="22" t="s">
        <v>11</v>
      </c>
      <c r="F19" s="9">
        <v>-52</v>
      </c>
      <c r="G19" s="22">
        <v>10.76</v>
      </c>
      <c r="H19" s="17" t="b">
        <v>0</v>
      </c>
      <c r="I19" s="8">
        <v>45192</v>
      </c>
    </row>
    <row r="20" spans="1:9" x14ac:dyDescent="0.3">
      <c r="A20">
        <v>18</v>
      </c>
      <c r="B20" s="19" t="s">
        <v>20</v>
      </c>
      <c r="C20" s="3" t="s">
        <v>48</v>
      </c>
      <c r="D20" s="7" t="s">
        <v>49</v>
      </c>
      <c r="E20" s="3" t="s">
        <v>11</v>
      </c>
      <c r="F20" s="7">
        <v>-1.89</v>
      </c>
      <c r="G20" s="3">
        <v>-2.4500000000000002</v>
      </c>
      <c r="H20" s="15" t="b">
        <v>1</v>
      </c>
      <c r="I20" s="8">
        <v>45017</v>
      </c>
    </row>
    <row r="21" spans="1:9" x14ac:dyDescent="0.3">
      <c r="A21">
        <v>19</v>
      </c>
      <c r="B21" s="21" t="s">
        <v>20</v>
      </c>
      <c r="C21" s="4" t="s">
        <v>50</v>
      </c>
      <c r="D21" s="10" t="s">
        <v>51</v>
      </c>
      <c r="E21" s="4" t="s">
        <v>11</v>
      </c>
      <c r="F21" s="10" t="s">
        <v>24</v>
      </c>
      <c r="G21" s="4">
        <v>84.93</v>
      </c>
      <c r="H21" s="18" t="b">
        <v>1</v>
      </c>
      <c r="I21" s="11">
        <v>45170</v>
      </c>
    </row>
    <row r="22" spans="1:9" x14ac:dyDescent="0.3">
      <c r="A22">
        <v>20</v>
      </c>
      <c r="B22" s="19" t="s">
        <v>52</v>
      </c>
      <c r="C22" s="3" t="s">
        <v>53</v>
      </c>
      <c r="D22" s="7" t="s">
        <v>54</v>
      </c>
      <c r="E22" s="3" t="s">
        <v>11</v>
      </c>
      <c r="F22" s="7">
        <v>3.98</v>
      </c>
      <c r="G22" s="3">
        <v>3.71</v>
      </c>
      <c r="H22" s="15" t="b">
        <v>1</v>
      </c>
      <c r="I22" s="8">
        <v>45139</v>
      </c>
    </row>
    <row r="23" spans="1:9" x14ac:dyDescent="0.3">
      <c r="A23">
        <v>21</v>
      </c>
      <c r="B23" s="19" t="s">
        <v>52</v>
      </c>
      <c r="C23" s="3" t="s">
        <v>55</v>
      </c>
      <c r="D23" s="7" t="s">
        <v>56</v>
      </c>
      <c r="E23" s="3" t="s">
        <v>11</v>
      </c>
      <c r="F23" s="7">
        <v>6.16</v>
      </c>
      <c r="G23" s="3">
        <v>-4.4400000000000004</v>
      </c>
      <c r="H23" s="15" t="b">
        <v>1</v>
      </c>
      <c r="I23" s="8">
        <v>45139</v>
      </c>
    </row>
    <row r="24" spans="1:9" x14ac:dyDescent="0.3">
      <c r="A24">
        <v>22</v>
      </c>
      <c r="B24" s="21" t="s">
        <v>52</v>
      </c>
      <c r="C24" s="3" t="s">
        <v>57</v>
      </c>
      <c r="D24" s="7" t="s">
        <v>58</v>
      </c>
      <c r="E24" s="3" t="s">
        <v>11</v>
      </c>
      <c r="F24" s="7">
        <v>3.96</v>
      </c>
      <c r="G24" s="3">
        <v>4.5</v>
      </c>
      <c r="H24" s="15" t="b">
        <v>0</v>
      </c>
      <c r="I24" s="8">
        <v>45139</v>
      </c>
    </row>
    <row r="25" spans="1:9" x14ac:dyDescent="0.3">
      <c r="A25">
        <v>23</v>
      </c>
      <c r="B25" s="20" t="s">
        <v>59</v>
      </c>
      <c r="C25" s="3" t="s">
        <v>60</v>
      </c>
      <c r="D25" s="7" t="s">
        <v>61</v>
      </c>
      <c r="E25" s="3" t="s">
        <v>11</v>
      </c>
      <c r="F25" s="9">
        <v>-87.72</v>
      </c>
      <c r="G25" s="22">
        <v>-215.63</v>
      </c>
      <c r="H25" s="15" t="b">
        <v>1</v>
      </c>
      <c r="I25" s="8">
        <v>45197</v>
      </c>
    </row>
    <row r="26" spans="1:9" x14ac:dyDescent="0.3">
      <c r="A26">
        <v>24</v>
      </c>
      <c r="B26" s="19" t="s">
        <v>59</v>
      </c>
      <c r="C26" s="3" t="s">
        <v>62</v>
      </c>
      <c r="D26" s="7" t="s">
        <v>63</v>
      </c>
      <c r="E26" s="3" t="s">
        <v>11</v>
      </c>
      <c r="F26" s="7">
        <v>8.7200000000000006</v>
      </c>
      <c r="G26" s="3">
        <v>61.7</v>
      </c>
      <c r="H26" s="15" t="b">
        <v>0</v>
      </c>
      <c r="I26" s="8">
        <v>45197</v>
      </c>
    </row>
    <row r="27" spans="1:9" x14ac:dyDescent="0.3">
      <c r="A27">
        <v>25</v>
      </c>
      <c r="B27" s="21" t="s">
        <v>59</v>
      </c>
      <c r="C27" s="4" t="s">
        <v>64</v>
      </c>
      <c r="D27" s="10" t="s">
        <v>65</v>
      </c>
      <c r="E27" s="4" t="s">
        <v>11</v>
      </c>
      <c r="F27" s="10">
        <v>23.11</v>
      </c>
      <c r="G27" s="4">
        <v>128.76</v>
      </c>
      <c r="H27" s="18" t="b">
        <v>0</v>
      </c>
      <c r="I27" s="11">
        <v>45139</v>
      </c>
    </row>
  </sheetData>
  <mergeCells count="1">
    <mergeCell ref="K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reportGrowthrate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 pham</dc:creator>
  <cp:lastModifiedBy>kha pham</cp:lastModifiedBy>
  <dcterms:created xsi:type="dcterms:W3CDTF">2023-10-01T18:37:58Z</dcterms:created>
  <dcterms:modified xsi:type="dcterms:W3CDTF">2023-10-01T18:37:58Z</dcterms:modified>
</cp:coreProperties>
</file>